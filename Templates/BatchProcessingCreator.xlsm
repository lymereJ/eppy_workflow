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4915" windowHeight="11580"/>
  </bookViews>
  <sheets>
    <sheet name="BatchProcessing" sheetId="1" r:id="rId1"/>
    <sheet name="Functions" sheetId="2" r:id="rId2"/>
  </sheets>
  <calcPr calcId="145621"/>
</workbook>
</file>

<file path=xl/calcChain.xml><?xml version="1.0" encoding="utf-8"?>
<calcChain xmlns="http://schemas.openxmlformats.org/spreadsheetml/2006/main">
  <c r="F2" i="1" l="1"/>
  <c r="C2" i="1" l="1"/>
  <c r="E2" i="1" l="1"/>
  <c r="G2" i="1"/>
  <c r="H2" i="1"/>
  <c r="D2" i="1"/>
</calcChain>
</file>

<file path=xl/sharedStrings.xml><?xml version="1.0" encoding="utf-8"?>
<sst xmlns="http://schemas.openxmlformats.org/spreadsheetml/2006/main" count="80" uniqueCount="57">
  <si>
    <t>idf</t>
  </si>
  <si>
    <t>AssignAndSetConstructionUVal</t>
  </si>
  <si>
    <t>AssignInteriorSurfacesConstruction</t>
  </si>
  <si>
    <t>AssignGroundContactSurfacesConstruction</t>
  </si>
  <si>
    <t>WWRfOrientation</t>
  </si>
  <si>
    <t>CreateAndAssignAndSetWindThermProp</t>
  </si>
  <si>
    <t>CreateAndAssignZoneTypes</t>
  </si>
  <si>
    <t>LPDperZoneType</t>
  </si>
  <si>
    <t>EPDperZoneType</t>
  </si>
  <si>
    <t>CreateAndSetOccupants</t>
  </si>
  <si>
    <t>CreateThermostat</t>
  </si>
  <si>
    <t>ZoneVAVFanPowered</t>
  </si>
  <si>
    <t>SystemPkgVAV</t>
  </si>
  <si>
    <t>MixedWaterLoop</t>
  </si>
  <si>
    <t>Boiler</t>
  </si>
  <si>
    <t>Tower</t>
  </si>
  <si>
    <t>ZoneVRF</t>
  </si>
  <si>
    <t>SystemVRF</t>
  </si>
  <si>
    <t>SystemDOAS</t>
  </si>
  <si>
    <t>-</t>
  </si>
  <si>
    <t>SurfaceType,ConstructionName,Uvalue</t>
  </si>
  <si>
    <t>SurfaceType,CostructionName</t>
  </si>
  <si>
    <t>SurfaceType,ConstructionName</t>
  </si>
  <si>
    <t>WWR,Orientation</t>
  </si>
  <si>
    <t>Ufactor,SHGC,VT,Orientation</t>
  </si>
  <si>
    <t>ZoneType,ZoneName1,…,n</t>
  </si>
  <si>
    <t>LPD,ZoneType,ScheduleName</t>
  </si>
  <si>
    <t>EPD,ZoneType,ScheduleName</t>
  </si>
  <si>
    <t>ZoneType,ScheduleName,Ft2PerPers,ActivityLevelSchedule,RadFrac</t>
  </si>
  <si>
    <t>ZoneType,ScheduleName,Method,InfFlow</t>
  </si>
  <si>
    <t>HtgSetpoint,ClgSetpoint</t>
  </si>
  <si>
    <t>NbZone,ZoneNames,System,Thermostat,FlowType{Series,Parallel},OACFMperFt2,ReheatType{Electric,HotWater,Gas},FanEff</t>
  </si>
  <si>
    <t>Name,HighTempSP,LowTempSP,LoopDT,PumpCfg{ConstantFlow,VariableFlow},PumpHead,PumpType{SinglePump,PumpPerTowerOrBoiler}</t>
  </si>
  <si>
    <t>Type{HotWaterBoiler,CondensingHotWaterBoiler,DistrictHotWater},Fuel{Electricity,NaturalGas},Efficiency,LoopType{HotWater,MixedWater}</t>
  </si>
  <si>
    <t>Type{SingleSpeed,TwoSpeed},LoopType{HotWater,MixedWater}</t>
  </si>
  <si>
    <t>NbZone,ZoneNames,Thermostat,OACFMperFt2,FanEff,ClgEER,HtgCOP</t>
  </si>
  <si>
    <t>NbZone,ZoneNames,System,Thermostat,OACFMperFT2,FanEff,DOAS,DOASSystem</t>
  </si>
  <si>
    <t>SystemName,ClgEER,HtgCOP,MasterThermostatZone,LoadPriority,HeatRec,HorizontalPipeLength,VerticalPipeLength,CondenserType,DefrostType</t>
  </si>
  <si>
    <t>SystemName,SupplyFanEff,ClgCoilType,ClgSetpoint,ClgEER,HtgCoilType,HtgSetpoint,HeatRec,HeatRecEff</t>
  </si>
  <si>
    <t>Functions</t>
  </si>
  <si>
    <t>Arguments</t>
  </si>
  <si>
    <t>SystemPSZ</t>
  </si>
  <si>
    <t>SystemName,ControlZone,SupplyFanOperation{Intermittent,Continuous},SupplyFanEff,ClgCoilType{SingleSpeedDX,TwoSpeedDX},ClgEER,HtgCoilType{Gas,SingleSpeedDXHeatPumpAirSource},HtgCOP,MinOA,Economizer{NoEconomizer,FixedDrybulb}</t>
  </si>
  <si>
    <t>ZonePSZ</t>
  </si>
  <si>
    <t>NbZone,ZoneNames,System,Thermostat,OACFMperFt2</t>
  </si>
  <si>
    <t>AssignAdiabaticSurfacesConstruction</t>
  </si>
  <si>
    <t>SurfaceType,ConstructionType</t>
  </si>
  <si>
    <t>TimeStep</t>
  </si>
  <si>
    <t>SystemName,ClgEER,ClgSetpoint,ClgSetpointResetMethod{None,Warmest,WarmestTemperatureFirst},HtgSrc,HtgSetpoint,HtgSetpointReset,SupplyFanEff,MinOA,Economizer,HeatRec,ReturnFan,FanCurve{VariableSpeedMotor,ASHRAE90.1-2004AppendixG,VariableSpeedMotorPressureReset}HeatRecEff,ReturnFanEff</t>
  </si>
  <si>
    <t>HotWaterLoop</t>
  </si>
  <si>
    <t>Name,OAReset{Yes,No},LoopDT,PumpCfg{ConstantFlow,VariableFlow},PumpHead,PumpType{SinglePump,PumpPerTowerOrBoiler}</t>
  </si>
  <si>
    <t>ZoneVAV</t>
  </si>
  <si>
    <t>NbZone,ZoneNames,System,Thermostat,OACFMperFt2,ReheatType{Gas,HotWater,Electric}</t>
  </si>
  <si>
    <t>SystemWSHP</t>
  </si>
  <si>
    <t>CreateAndAssignInfiltration</t>
  </si>
  <si>
    <t>AddInternalMassToZone</t>
  </si>
  <si>
    <t>NbZones,ZoneNames,InternalMassDensity{lbs/ft2}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</si>
</sst>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3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1" xfId="0" applyFill="1" applyBorder="1" applyAlignment="1"/>
    <xf numFmtId="0" fontId="0" fillId="0" borderId="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CSV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pane xSplit="8940" ySplit="1500" topLeftCell="C3" activePane="bottomLeft"/>
      <selection pane="topRight" activeCell="E2" sqref="E2"/>
      <selection pane="bottomLeft" activeCell="A3" sqref="A3"/>
      <selection pane="bottomRight" activeCell="C4" sqref="C4"/>
    </sheetView>
  </sheetViews>
  <sheetFormatPr defaultRowHeight="15" x14ac:dyDescent="0.25"/>
  <cols>
    <col min="1" max="2" width="40.7109375" style="4" customWidth="1"/>
    <col min="3" max="8" width="25.7109375" style="4" customWidth="1"/>
    <col min="9" max="16384" width="9.140625" style="10"/>
  </cols>
  <sheetData>
    <row r="1" spans="1:8" s="9" customFormat="1" ht="30" x14ac:dyDescent="0.25">
      <c r="A1" s="3" t="s">
        <v>0</v>
      </c>
      <c r="B1" s="6" t="s">
        <v>39</v>
      </c>
      <c r="C1" s="8" t="s">
        <v>47</v>
      </c>
      <c r="D1" s="8" t="s">
        <v>1</v>
      </c>
      <c r="E1" s="8" t="s">
        <v>4</v>
      </c>
      <c r="F1" s="8" t="s">
        <v>55</v>
      </c>
      <c r="G1" s="8" t="s">
        <v>6</v>
      </c>
      <c r="H1" s="8" t="s">
        <v>7</v>
      </c>
    </row>
    <row r="2" spans="1:8" s="9" customFormat="1" ht="30" x14ac:dyDescent="0.25">
      <c r="A2" s="5" t="s">
        <v>19</v>
      </c>
      <c r="B2" s="6" t="s">
        <v>40</v>
      </c>
      <c r="C2" s="7" t="str">
        <f>VLOOKUP(C1,Functions!$A:$B,2,FALSE)</f>
        <v>TimeStep</v>
      </c>
      <c r="D2" s="7" t="str">
        <f>VLOOKUP(D1,Functions!$A:$B,2,FALSE)</f>
        <v>SurfaceType,ConstructionName,Uvalue</v>
      </c>
      <c r="E2" s="7" t="str">
        <f>VLOOKUP(E1,Functions!$A:$B,2,FALSE)</f>
        <v>WWR,Orientation</v>
      </c>
      <c r="F2" s="7" t="str">
        <f>VLOOKUP(F1,Functions!$A:$B,2,FALSE)</f>
        <v>NbZones,ZoneNames,InternalMassDensity{lbs/ft2}</v>
      </c>
      <c r="G2" s="7" t="str">
        <f>VLOOKUP(G1,Functions!$A:$B,2,FALSE)</f>
        <v>ZoneType,ZoneName1,…,n</v>
      </c>
      <c r="H2" s="7" t="str">
        <f>VLOOKUP(H1,Functions!$A:$B,2,FALSE)</f>
        <v>LPD,ZoneType,ScheduleName</v>
      </c>
    </row>
    <row r="3" spans="1:8" s="12" customFormat="1" x14ac:dyDescent="0.25">
      <c r="A3" s="11"/>
      <c r="B3" s="11"/>
      <c r="C3" s="11" t="s">
        <v>19</v>
      </c>
      <c r="D3" s="11" t="s">
        <v>19</v>
      </c>
      <c r="E3" s="11" t="s">
        <v>19</v>
      </c>
      <c r="F3" s="11" t="s">
        <v>19</v>
      </c>
      <c r="G3" s="11" t="s">
        <v>19</v>
      </c>
      <c r="H3" s="11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2"/>
  <sheetViews>
    <sheetView workbookViewId="0">
      <selection activeCell="A32" sqref="A32"/>
    </sheetView>
  </sheetViews>
  <sheetFormatPr defaultRowHeight="15" x14ac:dyDescent="0.25"/>
  <cols>
    <col min="1" max="1" width="39.7109375" bestFit="1" customWidth="1"/>
    <col min="2" max="2" width="201.42578125" bestFit="1" customWidth="1"/>
  </cols>
  <sheetData>
    <row r="1" spans="1:2" x14ac:dyDescent="0.25">
      <c r="A1" s="2" t="s">
        <v>39</v>
      </c>
      <c r="B1" s="2" t="s">
        <v>40</v>
      </c>
    </row>
    <row r="2" spans="1:2" x14ac:dyDescent="0.25">
      <c r="A2" s="1" t="s">
        <v>1</v>
      </c>
      <c r="B2" s="1" t="s">
        <v>20</v>
      </c>
    </row>
    <row r="3" spans="1:2" x14ac:dyDescent="0.25">
      <c r="A3" s="1" t="s">
        <v>1</v>
      </c>
      <c r="B3" s="1" t="s">
        <v>20</v>
      </c>
    </row>
    <row r="4" spans="1:2" x14ac:dyDescent="0.25">
      <c r="A4" s="1" t="s">
        <v>1</v>
      </c>
      <c r="B4" s="1" t="s">
        <v>20</v>
      </c>
    </row>
    <row r="5" spans="1:2" x14ac:dyDescent="0.25">
      <c r="A5" s="1" t="s">
        <v>2</v>
      </c>
      <c r="B5" s="1" t="s">
        <v>21</v>
      </c>
    </row>
    <row r="6" spans="1:2" x14ac:dyDescent="0.25">
      <c r="A6" s="1" t="s">
        <v>2</v>
      </c>
      <c r="B6" s="1" t="s">
        <v>21</v>
      </c>
    </row>
    <row r="7" spans="1:2" x14ac:dyDescent="0.25">
      <c r="A7" s="1" t="s">
        <v>2</v>
      </c>
      <c r="B7" s="1" t="s">
        <v>21</v>
      </c>
    </row>
    <row r="8" spans="1:2" x14ac:dyDescent="0.25">
      <c r="A8" s="1" t="s">
        <v>3</v>
      </c>
      <c r="B8" s="1" t="s">
        <v>22</v>
      </c>
    </row>
    <row r="9" spans="1:2" x14ac:dyDescent="0.25">
      <c r="A9" s="1" t="s">
        <v>4</v>
      </c>
      <c r="B9" s="1" t="s">
        <v>23</v>
      </c>
    </row>
    <row r="10" spans="1:2" x14ac:dyDescent="0.25">
      <c r="A10" s="1" t="s">
        <v>5</v>
      </c>
      <c r="B10" s="1" t="s">
        <v>24</v>
      </c>
    </row>
    <row r="11" spans="1:2" x14ac:dyDescent="0.25">
      <c r="A11" s="1" t="s">
        <v>6</v>
      </c>
      <c r="B11" s="1" t="s">
        <v>25</v>
      </c>
    </row>
    <row r="12" spans="1:2" x14ac:dyDescent="0.25">
      <c r="A12" s="1" t="s">
        <v>7</v>
      </c>
      <c r="B12" s="1" t="s">
        <v>26</v>
      </c>
    </row>
    <row r="13" spans="1:2" x14ac:dyDescent="0.25">
      <c r="A13" s="1" t="s">
        <v>8</v>
      </c>
      <c r="B13" s="1" t="s">
        <v>27</v>
      </c>
    </row>
    <row r="14" spans="1:2" x14ac:dyDescent="0.25">
      <c r="A14" s="1" t="s">
        <v>9</v>
      </c>
      <c r="B14" s="1" t="s">
        <v>28</v>
      </c>
    </row>
    <row r="15" spans="1:2" x14ac:dyDescent="0.25">
      <c r="A15" s="1" t="s">
        <v>54</v>
      </c>
      <c r="B15" s="1" t="s">
        <v>29</v>
      </c>
    </row>
    <row r="16" spans="1:2" x14ac:dyDescent="0.25">
      <c r="A16" s="1" t="s">
        <v>10</v>
      </c>
      <c r="B16" s="1" t="s">
        <v>30</v>
      </c>
    </row>
    <row r="17" spans="1:2" x14ac:dyDescent="0.25">
      <c r="A17" s="1" t="s">
        <v>11</v>
      </c>
      <c r="B17" s="1" t="s">
        <v>31</v>
      </c>
    </row>
    <row r="18" spans="1:2" x14ac:dyDescent="0.25">
      <c r="A18" s="1" t="s">
        <v>12</v>
      </c>
      <c r="B18" s="1" t="s">
        <v>48</v>
      </c>
    </row>
    <row r="19" spans="1:2" x14ac:dyDescent="0.25">
      <c r="A19" s="1" t="s">
        <v>13</v>
      </c>
      <c r="B19" s="1" t="s">
        <v>32</v>
      </c>
    </row>
    <row r="20" spans="1:2" x14ac:dyDescent="0.25">
      <c r="A20" s="1" t="s">
        <v>14</v>
      </c>
      <c r="B20" s="1" t="s">
        <v>33</v>
      </c>
    </row>
    <row r="21" spans="1:2" x14ac:dyDescent="0.25">
      <c r="A21" s="1" t="s">
        <v>15</v>
      </c>
      <c r="B21" s="1" t="s">
        <v>34</v>
      </c>
    </row>
    <row r="22" spans="1:2" x14ac:dyDescent="0.25">
      <c r="A22" s="1" t="s">
        <v>53</v>
      </c>
      <c r="B22" s="1" t="s">
        <v>35</v>
      </c>
    </row>
    <row r="23" spans="1:2" x14ac:dyDescent="0.25">
      <c r="A23" s="1" t="s">
        <v>16</v>
      </c>
      <c r="B23" s="1" t="s">
        <v>36</v>
      </c>
    </row>
    <row r="24" spans="1:2" x14ac:dyDescent="0.25">
      <c r="A24" s="1" t="s">
        <v>17</v>
      </c>
      <c r="B24" s="1" t="s">
        <v>37</v>
      </c>
    </row>
    <row r="25" spans="1:2" x14ac:dyDescent="0.25">
      <c r="A25" s="1" t="s">
        <v>18</v>
      </c>
      <c r="B25" s="1" t="s">
        <v>38</v>
      </c>
    </row>
    <row r="26" spans="1:2" x14ac:dyDescent="0.25">
      <c r="A26" s="1" t="s">
        <v>41</v>
      </c>
      <c r="B26" s="1" t="s">
        <v>42</v>
      </c>
    </row>
    <row r="27" spans="1:2" x14ac:dyDescent="0.25">
      <c r="A27" s="1" t="s">
        <v>43</v>
      </c>
      <c r="B27" s="1" t="s">
        <v>44</v>
      </c>
    </row>
    <row r="28" spans="1:2" x14ac:dyDescent="0.25">
      <c r="A28" t="s">
        <v>45</v>
      </c>
      <c r="B28" s="1" t="s">
        <v>46</v>
      </c>
    </row>
    <row r="29" spans="1:2" x14ac:dyDescent="0.25">
      <c r="A29" s="1" t="s">
        <v>47</v>
      </c>
      <c r="B29" s="1" t="s">
        <v>47</v>
      </c>
    </row>
    <row r="30" spans="1:2" x14ac:dyDescent="0.25">
      <c r="A30" s="1" t="s">
        <v>49</v>
      </c>
      <c r="B30" s="1" t="s">
        <v>50</v>
      </c>
    </row>
    <row r="31" spans="1:2" x14ac:dyDescent="0.25">
      <c r="A31" s="1" t="s">
        <v>51</v>
      </c>
      <c r="B31" s="1" t="s">
        <v>52</v>
      </c>
    </row>
    <row r="32" spans="1:2" x14ac:dyDescent="0.25">
      <c r="A32" s="1" t="s">
        <v>55</v>
      </c>
      <c r="B32" s="1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BatchProcessing</vt:lpstr>
      <vt:lpstr>Functions</vt:lpstr>
    </vt:vector>
  </TitlesOfParts>
  <Company>Madison Engineering 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L.</dc:creator>
  <cp:lastModifiedBy>Jeremy L.</cp:lastModifiedBy>
  <dcterms:created xsi:type="dcterms:W3CDTF">2016-04-06T17:43:11Z</dcterms:created>
  <dcterms:modified xsi:type="dcterms:W3CDTF">2016-04-13T22:00:18Z</dcterms:modified>
</cp:coreProperties>
</file>